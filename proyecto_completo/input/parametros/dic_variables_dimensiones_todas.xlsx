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608a0e65a1a0a9/Documentos/InsightPlace/scripts/parquet/input/parametros/"/>
    </mc:Choice>
  </mc:AlternateContent>
  <xr:revisionPtr revIDLastSave="12" documentId="8_{4AD87E64-6BE5-4B38-925A-3EA7B3139062}" xr6:coauthVersionLast="47" xr6:coauthVersionMax="47" xr10:uidLastSave="{E5EB72F6-457D-4F68-B10B-1DC250868209}"/>
  <bookViews>
    <workbookView xWindow="-108" yWindow="-108" windowWidth="23256" windowHeight="12456" xr2:uid="{01B807A9-9DBE-41C9-A3C6-6CE95DD32F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</calcChain>
</file>

<file path=xl/sharedStrings.xml><?xml version="1.0" encoding="utf-8"?>
<sst xmlns="http://schemas.openxmlformats.org/spreadsheetml/2006/main" count="138" uniqueCount="78">
  <si>
    <t>Dimensión</t>
  </si>
  <si>
    <t>Label</t>
  </si>
  <si>
    <t>Nombre</t>
  </si>
  <si>
    <t>Agregación</t>
  </si>
  <si>
    <t>TP19_EE_1</t>
  </si>
  <si>
    <t>TP19_EE_E1</t>
  </si>
  <si>
    <t>TP19_EE_E2</t>
  </si>
  <si>
    <t>TP19_EE_E3</t>
  </si>
  <si>
    <t>TP19_EE_E4</t>
  </si>
  <si>
    <t>TP19_EE_E5</t>
  </si>
  <si>
    <t>TP19_EE_E6</t>
  </si>
  <si>
    <t>Viviendas con energía eléctrica</t>
  </si>
  <si>
    <t>Viendas en estrato 1</t>
  </si>
  <si>
    <t>Viendas en estrato 2</t>
  </si>
  <si>
    <t>Viendas en estrato 3</t>
  </si>
  <si>
    <t>Viendas en estrato 4</t>
  </si>
  <si>
    <t>Viendas en estrato 5</t>
  </si>
  <si>
    <t>Viendas en estrato 6</t>
  </si>
  <si>
    <t>TP19_ACU_1</t>
  </si>
  <si>
    <t>TP19_ALC_1</t>
  </si>
  <si>
    <t>TP19_GAS_1</t>
  </si>
  <si>
    <t>TP19_RECB1</t>
  </si>
  <si>
    <t>TP19_INTE1</t>
  </si>
  <si>
    <t>TP27_PERSO</t>
  </si>
  <si>
    <t>Viviendas con acceso a acueducto</t>
  </si>
  <si>
    <t>Viviendas con acceso a alcantarillado</t>
  </si>
  <si>
    <t>Viviendas con acceso a gas</t>
  </si>
  <si>
    <t>Viviendas con recolección basuras</t>
  </si>
  <si>
    <t>Viviendas con acceso a internet</t>
  </si>
  <si>
    <t>Número de personas</t>
  </si>
  <si>
    <t>Suma</t>
  </si>
  <si>
    <t>Acceso a servicios públicos</t>
  </si>
  <si>
    <t>Socioeconómica</t>
  </si>
  <si>
    <t>Demográfica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</si>
  <si>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</si>
  <si>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</si>
  <si>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</si>
  <si>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</si>
  <si>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</si>
  <si>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</si>
  <si>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</si>
  <si>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</si>
  <si>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</si>
  <si>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</si>
  <si>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</si>
  <si>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Número de hombres</t>
  </si>
  <si>
    <t>Número de mujeres</t>
  </si>
  <si>
    <t>Conteo de personas entre 0 - 9 años</t>
  </si>
  <si>
    <t>Conteo de personas entre 10 - 19 años</t>
  </si>
  <si>
    <t>Conteo de personas entre 20 - 29 años</t>
  </si>
  <si>
    <t>Conteo de personas entre 30 - 39 años</t>
  </si>
  <si>
    <t>Conteo de personas entre 40 - 49 años</t>
  </si>
  <si>
    <t>Conteo de personas entre 50 - 59 años</t>
  </si>
  <si>
    <t>Conteo de personas entre 60 - 69 años</t>
  </si>
  <si>
    <t>Conteo de personas entre 70 - 79 años</t>
  </si>
  <si>
    <t>Conteo de personas entre 80  y más años</t>
  </si>
  <si>
    <t>TP51PRIMAR</t>
  </si>
  <si>
    <t>TP51SECUND</t>
  </si>
  <si>
    <t>TP51SUPERI</t>
  </si>
  <si>
    <t>TP51POSTGR</t>
  </si>
  <si>
    <t>Educación</t>
  </si>
  <si>
    <t>Conteo de personas donde el nivel educativo del último año alcanzado es Preescolar - Pre jardín y Básica primaria</t>
  </si>
  <si>
    <t>Conteo de personas donde el nivel educativo del último año alcanzado es Especialización 1 año…maestría doctorado</t>
  </si>
  <si>
    <t xml:space="preserve">Conteo de personas donde el nivel educativo del último año alcanzado es Básica secundaria </t>
  </si>
  <si>
    <t>Conteo de personas donde el nivel educativo del último año alcanzado es Técnica profesional 1 año  7</t>
  </si>
  <si>
    <t>Económica</t>
  </si>
  <si>
    <t>DENS_EMP_M2</t>
  </si>
  <si>
    <t>Densidad empresarial</t>
  </si>
  <si>
    <t>Costos</t>
  </si>
  <si>
    <t>Avaluo promedio del impuesto predial en pesos colombianos por metro cuadrado</t>
  </si>
  <si>
    <t>Ambiental</t>
  </si>
  <si>
    <t>Riesgo inundación moderado</t>
  </si>
  <si>
    <t>Accesibilidad</t>
  </si>
  <si>
    <t>Distancia mínima a un paraderos en metros</t>
  </si>
  <si>
    <t>Distancia promedio a un paradero en metros</t>
  </si>
  <si>
    <t>Número de paraderos</t>
  </si>
  <si>
    <t>Número de rutas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</si>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</sst>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6DB1-1236-484E-8C7C-6EBC89D859FF}">
  <dimension ref="A1:D36"/>
  <sheetViews>
    <sheetView tabSelected="1" workbookViewId="0">
      <selection activeCell="B10" sqref="B10"/>
    </sheetView>
  </sheetViews>
  <sheetFormatPr baseColWidth="10" defaultRowHeight="14.4" x14ac:dyDescent="0.3"/>
  <cols>
    <col min="1" max="1" width="15.33203125" bestFit="1" customWidth="1"/>
    <col min="3" max="3" width="60.77734375" bestFit="1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 s="2" t="s">
        <v>31</v>
      </c>
      <c r="B2" s="4" t="s">
        <v>4</v>
      </c>
      <c r="C2" s="2" t="s">
        <v>11</v>
      </c>
      <c r="D2" s="2" t="s">
        <v>30</v>
      </c>
    </row>
    <row r="3" spans="1:4" x14ac:dyDescent="0.3">
      <c r="A3" s="2" t="s">
        <v>31</v>
      </c>
      <c r="B3" s="4" t="s">
        <v>18</v>
      </c>
      <c r="C3" s="2" t="s">
        <v>24</v>
      </c>
      <c r="D3" s="2" t="s">
        <v>30</v>
      </c>
    </row>
    <row r="4" spans="1:4" x14ac:dyDescent="0.3">
      <c r="A4" s="2" t="s">
        <v>31</v>
      </c>
      <c r="B4" s="4" t="s">
        <v>19</v>
      </c>
      <c r="C4" s="2" t="s">
        <v>25</v>
      </c>
      <c r="D4" s="2" t="s">
        <v>30</v>
      </c>
    </row>
    <row r="5" spans="1:4" x14ac:dyDescent="0.3">
      <c r="A5" s="2" t="s">
        <v>31</v>
      </c>
      <c r="B5" s="4" t="s">
        <v>20</v>
      </c>
      <c r="C5" s="2" t="s">
        <v>26</v>
      </c>
      <c r="D5" s="2" t="s">
        <v>30</v>
      </c>
    </row>
    <row r="6" spans="1:4" x14ac:dyDescent="0.3">
      <c r="A6" s="2" t="s">
        <v>31</v>
      </c>
      <c r="B6" s="4" t="s">
        <v>21</v>
      </c>
      <c r="C6" s="2" t="s">
        <v>27</v>
      </c>
      <c r="D6" s="2" t="s">
        <v>30</v>
      </c>
    </row>
    <row r="7" spans="1:4" x14ac:dyDescent="0.3">
      <c r="A7" s="2" t="s">
        <v>31</v>
      </c>
      <c r="B7" s="4" t="s">
        <v>22</v>
      </c>
      <c r="C7" s="2" t="s">
        <v>28</v>
      </c>
      <c r="D7" s="2" t="s">
        <v>30</v>
      </c>
    </row>
    <row r="8" spans="1:4" x14ac:dyDescent="0.3">
      <c r="A8" s="2" t="s">
        <v>32</v>
      </c>
      <c r="B8" s="4" t="s">
        <v>5</v>
      </c>
      <c r="C8" s="2" t="s">
        <v>12</v>
      </c>
      <c r="D8" s="2" t="s">
        <v>30</v>
      </c>
    </row>
    <row r="9" spans="1:4" x14ac:dyDescent="0.3">
      <c r="A9" s="2" t="s">
        <v>32</v>
      </c>
      <c r="B9" s="4" t="s">
        <v>6</v>
      </c>
      <c r="C9" s="2" t="s">
        <v>13</v>
      </c>
      <c r="D9" s="2" t="s">
        <v>30</v>
      </c>
    </row>
    <row r="10" spans="1:4" x14ac:dyDescent="0.3">
      <c r="A10" s="2" t="s">
        <v>32</v>
      </c>
      <c r="B10" s="4" t="s">
        <v>7</v>
      </c>
      <c r="C10" s="2" t="s">
        <v>14</v>
      </c>
      <c r="D10" s="2" t="s">
        <v>30</v>
      </c>
    </row>
    <row r="11" spans="1:4" x14ac:dyDescent="0.3">
      <c r="A11" s="2" t="s">
        <v>32</v>
      </c>
      <c r="B11" s="4" t="s">
        <v>8</v>
      </c>
      <c r="C11" s="2" t="s">
        <v>15</v>
      </c>
      <c r="D11" s="2" t="s">
        <v>30</v>
      </c>
    </row>
    <row r="12" spans="1:4" x14ac:dyDescent="0.3">
      <c r="A12" s="2" t="s">
        <v>32</v>
      </c>
      <c r="B12" s="4" t="s">
        <v>9</v>
      </c>
      <c r="C12" s="2" t="s">
        <v>16</v>
      </c>
      <c r="D12" s="2" t="s">
        <v>30</v>
      </c>
    </row>
    <row r="13" spans="1:4" x14ac:dyDescent="0.3">
      <c r="A13" s="2" t="s">
        <v>32</v>
      </c>
      <c r="B13" s="4" t="s">
        <v>10</v>
      </c>
      <c r="C13" s="2" t="s">
        <v>17</v>
      </c>
      <c r="D13" s="2" t="s">
        <v>30</v>
      </c>
    </row>
    <row r="14" spans="1:4" x14ac:dyDescent="0.3">
      <c r="A14" s="2" t="s">
        <v>33</v>
      </c>
      <c r="B14" s="4" t="s">
        <v>23</v>
      </c>
      <c r="C14" s="2" t="s">
        <v>29</v>
      </c>
      <c r="D14" s="2" t="s">
        <v>30</v>
      </c>
    </row>
    <row r="15" spans="1:4" x14ac:dyDescent="0.3">
      <c r="A15" s="2" t="s">
        <v>33</v>
      </c>
      <c r="B15" s="4" t="s">
        <v>34</v>
      </c>
      <c r="C15" s="2" t="s">
        <v>45</v>
      </c>
      <c r="D15" s="2" t="s">
        <v>30</v>
      </c>
    </row>
    <row r="16" spans="1:4" x14ac:dyDescent="0.3">
      <c r="A16" s="2" t="s">
        <v>33</v>
      </c>
      <c r="B16" s="4" t="s">
        <v>35</v>
      </c>
      <c r="C16" s="2" t="s">
        <v>46</v>
      </c>
      <c r="D16" s="2" t="s">
        <v>30</v>
      </c>
    </row>
    <row r="17" spans="1:4" x14ac:dyDescent="0.3">
      <c r="A17" s="2" t="s">
        <v>33</v>
      </c>
      <c r="B17" s="4" t="s">
        <v>36</v>
      </c>
      <c r="C17" s="4" t="s">
        <v>47</v>
      </c>
      <c r="D17" s="2" t="s">
        <v>30</v>
      </c>
    </row>
    <row r="18" spans="1:4" x14ac:dyDescent="0.3">
      <c r="A18" s="2" t="s">
        <v>33</v>
      </c>
      <c r="B18" s="4" t="s">
        <v>37</v>
      </c>
      <c r="C18" s="4" t="s">
        <v>48</v>
      </c>
      <c r="D18" s="2" t="s">
        <v>30</v>
      </c>
    </row>
    <row r="19" spans="1:4" x14ac:dyDescent="0.3">
      <c r="A19" s="2" t="s">
        <v>33</v>
      </c>
      <c r="B19" s="4" t="s">
        <v>38</v>
      </c>
      <c r="C19" s="4" t="s">
        <v>49</v>
      </c>
      <c r="D19" s="2" t="s">
        <v>30</v>
      </c>
    </row>
    <row r="20" spans="1:4" x14ac:dyDescent="0.3">
      <c r="A20" s="2" t="s">
        <v>33</v>
      </c>
      <c r="B20" s="4" t="s">
        <v>39</v>
      </c>
      <c r="C20" s="4" t="s">
        <v>50</v>
      </c>
      <c r="D20" s="2" t="s">
        <v>30</v>
      </c>
    </row>
    <row r="21" spans="1:4" x14ac:dyDescent="0.3">
      <c r="A21" s="2" t="s">
        <v>33</v>
      </c>
      <c r="B21" s="4" t="s">
        <v>40</v>
      </c>
      <c r="C21" s="4" t="s">
        <v>51</v>
      </c>
      <c r="D21" s="2" t="s">
        <v>30</v>
      </c>
    </row>
    <row r="22" spans="1:4" x14ac:dyDescent="0.3">
      <c r="A22" s="2" t="s">
        <v>33</v>
      </c>
      <c r="B22" s="4" t="s">
        <v>41</v>
      </c>
      <c r="C22" s="4" t="s">
        <v>52</v>
      </c>
      <c r="D22" s="2" t="s">
        <v>30</v>
      </c>
    </row>
    <row r="23" spans="1:4" x14ac:dyDescent="0.3">
      <c r="A23" s="2" t="s">
        <v>33</v>
      </c>
      <c r="B23" s="4" t="s">
        <v>42</v>
      </c>
      <c r="C23" s="4" t="s">
        <v>53</v>
      </c>
      <c r="D23" s="2" t="s">
        <v>30</v>
      </c>
    </row>
    <row r="24" spans="1:4" x14ac:dyDescent="0.3">
      <c r="A24" s="2" t="s">
        <v>33</v>
      </c>
      <c r="B24" s="4" t="s">
        <v>43</v>
      </c>
      <c r="C24" s="4" t="s">
        <v>54</v>
      </c>
      <c r="D24" s="2" t="s">
        <v>30</v>
      </c>
    </row>
    <row r="25" spans="1:4" x14ac:dyDescent="0.3">
      <c r="A25" s="2" t="s">
        <v>33</v>
      </c>
      <c r="B25" s="4" t="s">
        <v>44</v>
      </c>
      <c r="C25" s="4" t="s">
        <v>55</v>
      </c>
      <c r="D25" s="2" t="s">
        <v>30</v>
      </c>
    </row>
    <row r="26" spans="1:4" x14ac:dyDescent="0.3">
      <c r="A26" s="2" t="s">
        <v>60</v>
      </c>
      <c r="B26" s="4" t="s">
        <v>56</v>
      </c>
      <c r="C26" s="4" t="s">
        <v>61</v>
      </c>
      <c r="D26" s="2" t="s">
        <v>30</v>
      </c>
    </row>
    <row r="27" spans="1:4" x14ac:dyDescent="0.3">
      <c r="A27" s="2" t="s">
        <v>60</v>
      </c>
      <c r="B27" s="4" t="s">
        <v>57</v>
      </c>
      <c r="C27" s="4" t="s">
        <v>63</v>
      </c>
      <c r="D27" s="2" t="s">
        <v>30</v>
      </c>
    </row>
    <row r="28" spans="1:4" x14ac:dyDescent="0.3">
      <c r="A28" s="2" t="s">
        <v>60</v>
      </c>
      <c r="B28" s="4" t="s">
        <v>58</v>
      </c>
      <c r="C28" s="4" t="s">
        <v>64</v>
      </c>
      <c r="D28" s="2" t="s">
        <v>30</v>
      </c>
    </row>
    <row r="29" spans="1:4" x14ac:dyDescent="0.3">
      <c r="A29" s="2" t="s">
        <v>60</v>
      </c>
      <c r="B29" s="4" t="s">
        <v>59</v>
      </c>
      <c r="C29" s="4" t="s">
        <v>62</v>
      </c>
      <c r="D29" s="2" t="s">
        <v>30</v>
      </c>
    </row>
    <row r="30" spans="1:4" x14ac:dyDescent="0.3">
      <c r="A30" s="3" t="s">
        <v>65</v>
      </c>
      <c r="B30" s="6" t="s">
        <v>66</v>
      </c>
      <c r="C30" s="5" t="s">
        <v>67</v>
      </c>
      <c r="D30" s="3" t="s">
        <v>77</v>
      </c>
    </row>
    <row r="31" spans="1:4" x14ac:dyDescent="0.3">
      <c r="A31" s="3" t="s">
        <v>68</v>
      </c>
      <c r="B31" s="6" t="str">
        <f>UPPER("avalup_prom_imp")</f>
        <v>AVALUP_PROM_IMP</v>
      </c>
      <c r="C31" s="7" t="s">
        <v>69</v>
      </c>
      <c r="D31" s="3" t="s">
        <v>77</v>
      </c>
    </row>
    <row r="32" spans="1:4" x14ac:dyDescent="0.3">
      <c r="A32" s="7" t="s">
        <v>70</v>
      </c>
      <c r="B32" s="6" t="str">
        <f>UPPER("riesgo_pluv_mod")</f>
        <v>RIESGO_PLUV_MOD</v>
      </c>
      <c r="C32" s="7" t="s">
        <v>71</v>
      </c>
      <c r="D32" s="3" t="s">
        <v>77</v>
      </c>
    </row>
    <row r="33" spans="1:4" x14ac:dyDescent="0.3">
      <c r="A33" s="7" t="s">
        <v>72</v>
      </c>
      <c r="B33" s="6" t="str">
        <f>UPPER("min_dist")</f>
        <v>MIN_DIST</v>
      </c>
      <c r="C33" s="7" t="s">
        <v>73</v>
      </c>
      <c r="D33" s="3" t="s">
        <v>77</v>
      </c>
    </row>
    <row r="34" spans="1:4" x14ac:dyDescent="0.3">
      <c r="A34" s="7" t="s">
        <v>72</v>
      </c>
      <c r="B34" s="6" t="str">
        <f>UPPER("avg_dist")</f>
        <v>AVG_DIST</v>
      </c>
      <c r="C34" s="7" t="s">
        <v>74</v>
      </c>
      <c r="D34" s="3" t="s">
        <v>77</v>
      </c>
    </row>
    <row r="35" spans="1:4" x14ac:dyDescent="0.3">
      <c r="A35" s="7" t="s">
        <v>72</v>
      </c>
      <c r="B35" s="6" t="str">
        <f>UPPER("n_paraderos")</f>
        <v>N_PARADEROS</v>
      </c>
      <c r="C35" s="7" t="s">
        <v>75</v>
      </c>
      <c r="D35" s="3" t="s">
        <v>30</v>
      </c>
    </row>
    <row r="36" spans="1:4" x14ac:dyDescent="0.3">
      <c r="A36" s="7" t="s">
        <v>72</v>
      </c>
      <c r="B36" s="6" t="str">
        <f>UPPER("n_rutas")</f>
        <v>N_RUTAS</v>
      </c>
      <c r="C36" s="7" t="s">
        <v>76</v>
      </c>
      <c r="D36" s="3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Guillermo Garcia rivas</dc:creator>
  <cp:lastModifiedBy>Oscar Guillermo Garcia rivas</cp:lastModifiedBy>
  <dcterms:created xsi:type="dcterms:W3CDTF">2025-12-04T01:56:11Z</dcterms:created>
  <dcterms:modified xsi:type="dcterms:W3CDTF">2025-12-04T02:39:04Z</dcterms:modified>
</cp:coreProperties>
</file>